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" authorId="0">
      <text>
        <r>
          <rPr>
            <sz val="10"/>
            <rFont val="Arial"/>
            <family val="2"/>
          </rPr>
          <t xml:space="preserve">Change this each week. Status column and the orange column highlight update automatically.</t>
        </r>
      </text>
    </comment>
  </commentList>
</comments>
</file>

<file path=xl/sharedStrings.xml><?xml version="1.0" encoding="utf-8"?>
<sst xmlns="http://schemas.openxmlformats.org/spreadsheetml/2006/main" count="62" uniqueCount="44">
  <si>
    <t xml:space="preserve">GreenCode final-year project plan</t>
  </si>
  <si>
    <t xml:space="preserve">Week 1 starts on</t>
  </si>
  <si>
    <t xml:space="preserve">Current week</t>
  </si>
  <si>
    <t xml:space="preserve">Blue cells are inputs you can edit. Bars, dates and statuses are formulas.</t>
  </si>
  <si>
    <t xml:space="preserve">#</t>
  </si>
  <si>
    <t xml:space="preserve">Phase</t>
  </si>
  <si>
    <t xml:space="preserve">Task</t>
  </si>
  <si>
    <t xml:space="preserve">Start wk</t>
  </si>
  <si>
    <t xml:space="preserve">End wk</t>
  </si>
  <si>
    <t xml:space="preserve">Start date</t>
  </si>
  <si>
    <t xml:space="preserve">End date</t>
  </si>
  <si>
    <t xml:space="preserve">Weeks</t>
  </si>
  <si>
    <t xml:space="preserve">Status</t>
  </si>
  <si>
    <t xml:space="preserve">Research</t>
  </si>
  <si>
    <t xml:space="preserve">Literature review and reference library</t>
  </si>
  <si>
    <t xml:space="preserve">Project proposal: research question, hypotheses, approach</t>
  </si>
  <si>
    <t xml:space="preserve">Requirements</t>
  </si>
  <si>
    <t xml:space="preserve">Requirements gathering and user-group feedback</t>
  </si>
  <si>
    <t xml:space="preserve">Analysis &amp; design</t>
  </si>
  <si>
    <t xml:space="preserve">Architecture, database schema, UML diagrams</t>
  </si>
  <si>
    <t xml:space="preserve">Implementation</t>
  </si>
  <si>
    <t xml:space="preserve">Core pipeline: analysis, AI generation, verification, benchmark</t>
  </si>
  <si>
    <t xml:space="preserve">Interim report</t>
  </si>
  <si>
    <t xml:space="preserve">Energy and CO₂e measurement layer; admin panel</t>
  </si>
  <si>
    <t xml:space="preserve">Expand benchmark suite to 30–50 cases</t>
  </si>
  <si>
    <t xml:space="preserve">Testing &amp; evaluation</t>
  </si>
  <si>
    <t xml:space="preserve">Pilot experiment runs and fixes</t>
  </si>
  <si>
    <t xml:space="preserve">Break</t>
  </si>
  <si>
    <t xml:space="preserve">Christmas break and semester 1 exams</t>
  </si>
  <si>
    <t xml:space="preserve">Dashboard polish and Nielsen heuristic audit</t>
  </si>
  <si>
    <t xml:space="preserve">Hardening, bug fixes and documentation</t>
  </si>
  <si>
    <t xml:space="preserve">Full experiment runs under both conditions</t>
  </si>
  <si>
    <t xml:space="preserve">Statistical analysis and failure analysis</t>
  </si>
  <si>
    <t xml:space="preserve">Dissertation writing</t>
  </si>
  <si>
    <t xml:space="preserve">Final review, demonstration and submission</t>
  </si>
  <si>
    <t xml:space="preserve">Unit and integration tests (continuous)</t>
  </si>
  <si>
    <t xml:space="preserve">Milestones</t>
  </si>
  <si>
    <t xml:space="preserve">Interim report due</t>
  </si>
  <si>
    <t xml:space="preserve">Semester 1 ends</t>
  </si>
  <si>
    <t xml:space="preserve">Semester 2 starts</t>
  </si>
  <si>
    <t xml:space="preserve">Final submission (late April)</t>
  </si>
  <si>
    <t xml:space="preserve">Legend</t>
  </si>
  <si>
    <t xml:space="preserve">◆  Milestone</t>
  </si>
  <si>
    <t xml:space="preserve">Dates assume TU Dublin semester 1 teaching ends week 14, semester 2 begins week 20, and final submission is Friday 30 April 2027 (week 32). Edit D2 or any start/end week to replan.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</si>
</sst>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 mmm\ yyyy"/>
    <numFmt numFmtId="166" formatCode="dd\ mmm\ yy"/>
    <numFmt numFmtId="167" formatCode="dd\ mmm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9"/>
      <color rgb="FF1F3B2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B91C1C"/>
      <name val="Arial"/>
      <family val="0"/>
      <charset val="1"/>
    </font>
    <font>
      <b val="true"/>
      <sz val="10"/>
      <color rgb="FFB91C1C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B2D"/>
        <bgColor rgb="FF333300"/>
      </patternFill>
    </fill>
    <fill>
      <patternFill patternType="solid">
        <fgColor rgb="FF2E7D5B"/>
        <bgColor rgb="FF3C8F6A"/>
      </patternFill>
    </fill>
    <fill>
      <patternFill patternType="solid">
        <fgColor rgb="FF3C8F6A"/>
        <bgColor rgb="FF4C9F79"/>
      </patternFill>
    </fill>
    <fill>
      <patternFill patternType="solid">
        <fgColor rgb="FF4C9F79"/>
        <bgColor rgb="FF3C8F6A"/>
      </patternFill>
    </fill>
    <fill>
      <patternFill patternType="solid">
        <fgColor rgb="FF1F6B4A"/>
        <bgColor rgb="FF2E7D5B"/>
      </patternFill>
    </fill>
    <fill>
      <patternFill patternType="solid">
        <fgColor rgb="FF6AAE8E"/>
        <bgColor rgb="FF4C9F79"/>
      </patternFill>
    </fill>
    <fill>
      <patternFill patternType="solid">
        <fgColor rgb="FFBFBFBF"/>
        <bgColor rgb="FFD9D9D9"/>
      </patternFill>
    </fill>
    <fill>
      <patternFill patternType="solid">
        <fgColor rgb="FFFDE9C9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2E7D5B"/>
        </patternFill>
      </fill>
    </dxf>
    <dxf>
      <fill>
        <patternFill>
          <bgColor rgb="FF3C8F6A"/>
        </patternFill>
      </fill>
    </dxf>
    <dxf>
      <fill>
        <patternFill>
          <bgColor rgb="FF4C9F79"/>
        </patternFill>
      </fill>
    </dxf>
    <dxf>
      <fill>
        <patternFill>
          <bgColor rgb="FF1F6B4A"/>
        </patternFill>
      </fill>
    </dxf>
    <dxf>
      <fill>
        <patternFill>
          <bgColor rgb="FF6AAE8E"/>
        </patternFill>
      </fill>
    </dxf>
    <dxf>
      <fill>
        <patternFill>
          <bgColor rgb="FFBFBFBF"/>
        </patternFill>
      </fill>
    </dxf>
    <dxf>
      <fill>
        <patternFill>
          <bgColor rgb="FFFDE9C9"/>
        </patternFill>
      </fill>
    </dxf>
    <dxf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7D5B"/>
      <rgbColor rgb="FFBFBFBF"/>
      <rgbColor rgb="FF4C9F79"/>
      <rgbColor rgb="FF9999FF"/>
      <rgbColor rgb="FF993366"/>
      <rgbColor rgb="FFFDE9C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F6B4A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6AAE8E"/>
      <rgbColor rgb="FF003366"/>
      <rgbColor rgb="FF3C8F6A"/>
      <rgbColor rgb="FF003300"/>
      <rgbColor rgb="FF333300"/>
      <rgbColor rgb="FFB91C1C"/>
      <rgbColor rgb="FF993366"/>
      <rgbColor rgb="FF333399"/>
      <rgbColor rgb="FF1F3B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O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J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8"/>
    <col collapsed="false" customWidth="true" hidden="false" outlineLevel="0" max="3" min="3" style="1" width="52"/>
    <col collapsed="false" customWidth="true" hidden="false" outlineLevel="0" max="5" min="4" style="1" width="9"/>
    <col collapsed="false" customWidth="true" hidden="false" outlineLevel="0" max="7" min="6" style="1" width="11"/>
    <col collapsed="false" customWidth="true" hidden="false" outlineLevel="0" max="8" min="8" style="1" width="9"/>
    <col collapsed="false" customWidth="true" hidden="false" outlineLevel="0" max="9" min="9" style="1" width="11"/>
    <col collapsed="false" customWidth="true" hidden="false" outlineLevel="0" max="41" min="10" style="1" width="3.2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  <c r="B2" s="4" t="s">
        <v>1</v>
      </c>
      <c r="D2" s="5" t="n">
        <v>46279</v>
      </c>
    </row>
    <row r="3" customFormat="false" ht="15" hidden="false" customHeight="true" outlineLevel="0" collapsed="false">
      <c r="A3" s="3"/>
      <c r="B3" s="3" t="s">
        <v>2</v>
      </c>
      <c r="D3" s="6" t="n">
        <v>5</v>
      </c>
    </row>
    <row r="4" customFormat="false" ht="15" hidden="false" customHeight="true" outlineLevel="0" collapsed="false">
      <c r="A4" s="7"/>
      <c r="B4" s="7" t="s">
        <v>3</v>
      </c>
    </row>
    <row r="6" customFormat="false" ht="15" hidden="false" customHeight="true" outlineLevel="0" collapsed="false">
      <c r="J6" s="8" t="str">
        <f aca="false">IF(OR(J7=1,DAY($D$2+(J7-1)*7)&lt;=7),TEXT($D$2+(J7-1)*7,"mmm yy"),"")</f>
        <v>Sep 26</v>
      </c>
      <c r="K6" s="8" t="str">
        <f aca="false">IF(OR(K7=1,DAY($D$2+(K7-1)*7)&lt;=7),TEXT($D$2+(K7-1)*7,"mmm yy"),"")</f>
        <v/>
      </c>
      <c r="L6" s="8" t="str">
        <f aca="false">IF(OR(L7=1,DAY($D$2+(L7-1)*7)&lt;=7),TEXT($D$2+(L7-1)*7,"mmm yy"),"")</f>
        <v/>
      </c>
      <c r="M6" s="8" t="str">
        <f aca="false">IF(OR(M7=1,DAY($D$2+(M7-1)*7)&lt;=7),TEXT($D$2+(M7-1)*7,"mmm yy"),"")</f>
        <v>Oct 26</v>
      </c>
      <c r="N6" s="8" t="str">
        <f aca="false">IF(OR(N7=1,DAY($D$2+(N7-1)*7)&lt;=7),TEXT($D$2+(N7-1)*7,"mmm yy"),"")</f>
        <v/>
      </c>
      <c r="O6" s="8" t="str">
        <f aca="false">IF(OR(O7=1,DAY($D$2+(O7-1)*7)&lt;=7),TEXT($D$2+(O7-1)*7,"mmm yy"),"")</f>
        <v/>
      </c>
      <c r="P6" s="8" t="str">
        <f aca="false">IF(OR(P7=1,DAY($D$2+(P7-1)*7)&lt;=7),TEXT($D$2+(P7-1)*7,"mmm yy"),"")</f>
        <v/>
      </c>
      <c r="Q6" s="8" t="str">
        <f aca="false">IF(OR(Q7=1,DAY($D$2+(Q7-1)*7)&lt;=7),TEXT($D$2+(Q7-1)*7,"mmm yy"),"")</f>
        <v>Nov 26</v>
      </c>
      <c r="R6" s="8" t="str">
        <f aca="false">IF(OR(R7=1,DAY($D$2+(R7-1)*7)&lt;=7),TEXT($D$2+(R7-1)*7,"mmm yy"),"")</f>
        <v/>
      </c>
      <c r="S6" s="8" t="str">
        <f aca="false">IF(OR(S7=1,DAY($D$2+(S7-1)*7)&lt;=7),TEXT($D$2+(S7-1)*7,"mmm yy"),"")</f>
        <v/>
      </c>
      <c r="T6" s="8" t="str">
        <f aca="false">IF(OR(T7=1,DAY($D$2+(T7-1)*7)&lt;=7),TEXT($D$2+(T7-1)*7,"mmm yy"),"")</f>
        <v/>
      </c>
      <c r="U6" s="8" t="str">
        <f aca="false">IF(OR(U7=1,DAY($D$2+(U7-1)*7)&lt;=7),TEXT($D$2+(U7-1)*7,"mmm yy"),"")</f>
        <v/>
      </c>
      <c r="V6" s="8" t="str">
        <f aca="false">IF(OR(V7=1,DAY($D$2+(V7-1)*7)&lt;=7),TEXT($D$2+(V7-1)*7,"mmm yy"),"")</f>
        <v>Dec 26</v>
      </c>
      <c r="W6" s="8" t="str">
        <f aca="false">IF(OR(W7=1,DAY($D$2+(W7-1)*7)&lt;=7),TEXT($D$2+(W7-1)*7,"mmm yy"),"")</f>
        <v/>
      </c>
      <c r="X6" s="8" t="str">
        <f aca="false">IF(OR(X7=1,DAY($D$2+(X7-1)*7)&lt;=7),TEXT($D$2+(X7-1)*7,"mmm yy"),"")</f>
        <v/>
      </c>
      <c r="Y6" s="8" t="str">
        <f aca="false">IF(OR(Y7=1,DAY($D$2+(Y7-1)*7)&lt;=7),TEXT($D$2+(Y7-1)*7,"mmm yy"),"")</f>
        <v/>
      </c>
      <c r="Z6" s="8" t="str">
        <f aca="false">IF(OR(Z7=1,DAY($D$2+(Z7-1)*7)&lt;=7),TEXT($D$2+(Z7-1)*7,"mmm yy"),"")</f>
        <v>Jan 27</v>
      </c>
      <c r="AA6" s="8" t="str">
        <f aca="false">IF(OR(AA7=1,DAY($D$2+(AA7-1)*7)&lt;=7),TEXT($D$2+(AA7-1)*7,"mmm yy"),"")</f>
        <v/>
      </c>
      <c r="AB6" s="8" t="str">
        <f aca="false">IF(OR(AB7=1,DAY($D$2+(AB7-1)*7)&lt;=7),TEXT($D$2+(AB7-1)*7,"mmm yy"),"")</f>
        <v/>
      </c>
      <c r="AC6" s="8" t="str">
        <f aca="false">IF(OR(AC7=1,DAY($D$2+(AC7-1)*7)&lt;=7),TEXT($D$2+(AC7-1)*7,"mmm yy"),"")</f>
        <v/>
      </c>
      <c r="AD6" s="8" t="str">
        <f aca="false">IF(OR(AD7=1,DAY($D$2+(AD7-1)*7)&lt;=7),TEXT($D$2+(AD7-1)*7,"mmm yy"),"")</f>
        <v>Feb 27</v>
      </c>
      <c r="AE6" s="8" t="str">
        <f aca="false">IF(OR(AE7=1,DAY($D$2+(AE7-1)*7)&lt;=7),TEXT($D$2+(AE7-1)*7,"mmm yy"),"")</f>
        <v/>
      </c>
      <c r="AF6" s="8" t="str">
        <f aca="false">IF(OR(AF7=1,DAY($D$2+(AF7-1)*7)&lt;=7),TEXT($D$2+(AF7-1)*7,"mmm yy"),"")</f>
        <v/>
      </c>
      <c r="AG6" s="8" t="str">
        <f aca="false">IF(OR(AG7=1,DAY($D$2+(AG7-1)*7)&lt;=7),TEXT($D$2+(AG7-1)*7,"mmm yy"),"")</f>
        <v/>
      </c>
      <c r="AH6" s="8" t="str">
        <f aca="false">IF(OR(AH7=1,DAY($D$2+(AH7-1)*7)&lt;=7),TEXT($D$2+(AH7-1)*7,"mmm yy"),"")</f>
        <v>Mar 27</v>
      </c>
      <c r="AI6" s="8" t="str">
        <f aca="false">IF(OR(AI7=1,DAY($D$2+(AI7-1)*7)&lt;=7),TEXT($D$2+(AI7-1)*7,"mmm yy"),"")</f>
        <v/>
      </c>
      <c r="AJ6" s="8" t="str">
        <f aca="false">IF(OR(AJ7=1,DAY($D$2+(AJ7-1)*7)&lt;=7),TEXT($D$2+(AJ7-1)*7,"mmm yy"),"")</f>
        <v/>
      </c>
      <c r="AK6" s="8" t="str">
        <f aca="false">IF(OR(AK7=1,DAY($D$2+(AK7-1)*7)&lt;=7),TEXT($D$2+(AK7-1)*7,"mmm yy"),"")</f>
        <v/>
      </c>
      <c r="AL6" s="8" t="str">
        <f aca="false">IF(OR(AL7=1,DAY($D$2+(AL7-1)*7)&lt;=7),TEXT($D$2+(AL7-1)*7,"mmm yy"),"")</f>
        <v/>
      </c>
      <c r="AM6" s="8" t="str">
        <f aca="false">IF(OR(AM7=1,DAY($D$2+(AM7-1)*7)&lt;=7),TEXT($D$2+(AM7-1)*7,"mmm yy"),"")</f>
        <v>Apr 27</v>
      </c>
      <c r="AN6" s="8" t="str">
        <f aca="false">IF(OR(AN7=1,DAY($D$2+(AN7-1)*7)&lt;=7),TEXT($D$2+(AN7-1)*7,"mmm yy"),"")</f>
        <v/>
      </c>
      <c r="AO6" s="8" t="str">
        <f aca="false">IF(OR(AO7=1,DAY($D$2+(AO7-1)*7)&lt;=7),TEXT($D$2+(AO7-1)*7,"mmm yy"),"")</f>
        <v/>
      </c>
    </row>
    <row r="7" customFormat="false" ht="30" hidden="false" customHeight="true" outlineLevel="0" collapsed="false">
      <c r="A7" s="9" t="s">
        <v>4</v>
      </c>
      <c r="B7" s="9" t="s">
        <v>5</v>
      </c>
      <c r="C7" s="9" t="s">
        <v>6</v>
      </c>
      <c r="D7" s="9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10" t="n">
        <v>1</v>
      </c>
      <c r="K7" s="10" t="n">
        <v>2</v>
      </c>
      <c r="L7" s="10" t="n">
        <v>3</v>
      </c>
      <c r="M7" s="10" t="n">
        <v>4</v>
      </c>
      <c r="N7" s="10" t="n">
        <v>5</v>
      </c>
      <c r="O7" s="10" t="n">
        <v>6</v>
      </c>
      <c r="P7" s="10" t="n">
        <v>7</v>
      </c>
      <c r="Q7" s="10" t="n">
        <v>8</v>
      </c>
      <c r="R7" s="10" t="n">
        <v>9</v>
      </c>
      <c r="S7" s="10" t="n">
        <v>10</v>
      </c>
      <c r="T7" s="10" t="n">
        <v>11</v>
      </c>
      <c r="U7" s="10" t="n">
        <v>12</v>
      </c>
      <c r="V7" s="10" t="n">
        <v>13</v>
      </c>
      <c r="W7" s="10" t="n">
        <v>14</v>
      </c>
      <c r="X7" s="10" t="n">
        <v>15</v>
      </c>
      <c r="Y7" s="10" t="n">
        <v>16</v>
      </c>
      <c r="Z7" s="10" t="n">
        <v>17</v>
      </c>
      <c r="AA7" s="10" t="n">
        <v>18</v>
      </c>
      <c r="AB7" s="10" t="n">
        <v>19</v>
      </c>
      <c r="AC7" s="10" t="n">
        <v>20</v>
      </c>
      <c r="AD7" s="10" t="n">
        <v>21</v>
      </c>
      <c r="AE7" s="10" t="n">
        <v>22</v>
      </c>
      <c r="AF7" s="10" t="n">
        <v>23</v>
      </c>
      <c r="AG7" s="10" t="n">
        <v>24</v>
      </c>
      <c r="AH7" s="10" t="n">
        <v>25</v>
      </c>
      <c r="AI7" s="10" t="n">
        <v>26</v>
      </c>
      <c r="AJ7" s="10" t="n">
        <v>27</v>
      </c>
      <c r="AK7" s="10" t="n">
        <v>28</v>
      </c>
      <c r="AL7" s="10" t="n">
        <v>29</v>
      </c>
      <c r="AM7" s="10" t="n">
        <v>30</v>
      </c>
      <c r="AN7" s="10" t="n">
        <v>31</v>
      </c>
      <c r="AO7" s="10" t="n">
        <v>32</v>
      </c>
    </row>
    <row r="8" customFormat="false" ht="15" hidden="false" customHeight="true" outlineLevel="0" collapsed="false">
      <c r="A8" s="11" t="n">
        <v>1</v>
      </c>
      <c r="B8" s="12" t="s">
        <v>13</v>
      </c>
      <c r="C8" s="12" t="s">
        <v>14</v>
      </c>
      <c r="D8" s="11" t="n">
        <v>1</v>
      </c>
      <c r="E8" s="11" t="n">
        <v>8</v>
      </c>
      <c r="F8" s="13" t="n">
        <f aca="false">$D$2+(D8-1)*7</f>
        <v>46279</v>
      </c>
      <c r="G8" s="13" t="n">
        <f aca="false">$D$2+E8*7-3</f>
        <v>46332</v>
      </c>
      <c r="H8" s="11" t="n">
        <f aca="false">E8-D8+1</f>
        <v>8</v>
      </c>
      <c r="I8" s="12" t="str">
        <f aca="false">IF(B8="Break","",IF(E8&lt;$D$3,"Done",IF(D8&lt;=$D$3,"In progress","Planned")))</f>
        <v>In progress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</row>
    <row r="9" customFormat="false" ht="15" hidden="false" customHeight="true" outlineLevel="0" collapsed="false">
      <c r="A9" s="11" t="n">
        <v>2</v>
      </c>
      <c r="B9" s="12" t="s">
        <v>13</v>
      </c>
      <c r="C9" s="12" t="s">
        <v>15</v>
      </c>
      <c r="D9" s="11" t="n">
        <v>3</v>
      </c>
      <c r="E9" s="11" t="n">
        <v>6</v>
      </c>
      <c r="F9" s="13" t="n">
        <f aca="false">$D$2+(D9-1)*7</f>
        <v>46293</v>
      </c>
      <c r="G9" s="13" t="n">
        <f aca="false">$D$2+E9*7-3</f>
        <v>46318</v>
      </c>
      <c r="H9" s="11" t="n">
        <f aca="false">E9-D9+1</f>
        <v>4</v>
      </c>
      <c r="I9" s="12" t="str">
        <f aca="false">IF(B9="Break","",IF(E9&lt;$D$3,"Done",IF(D9&lt;=$D$3,"In progress","Planned")))</f>
        <v>In progress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</row>
    <row r="10" customFormat="false" ht="15" hidden="false" customHeight="true" outlineLevel="0" collapsed="false">
      <c r="A10" s="11" t="n">
        <v>3</v>
      </c>
      <c r="B10" s="12" t="s">
        <v>16</v>
      </c>
      <c r="C10" s="12" t="s">
        <v>17</v>
      </c>
      <c r="D10" s="11" t="n">
        <v>4</v>
      </c>
      <c r="E10" s="11" t="n">
        <v>7</v>
      </c>
      <c r="F10" s="13" t="n">
        <f aca="false">$D$2+(D10-1)*7</f>
        <v>46300</v>
      </c>
      <c r="G10" s="13" t="n">
        <f aca="false">$D$2+E10*7-3</f>
        <v>46325</v>
      </c>
      <c r="H10" s="11" t="n">
        <f aca="false">E10-D10+1</f>
        <v>4</v>
      </c>
      <c r="I10" s="12" t="str">
        <f aca="false">IF(B10="Break","",IF(E10&lt;$D$3,"Done",IF(D10&lt;=$D$3,"In progress","Planned")))</f>
        <v>In progress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</row>
    <row r="11" customFormat="false" ht="15" hidden="false" customHeight="true" outlineLevel="0" collapsed="false">
      <c r="A11" s="11" t="n">
        <v>4</v>
      </c>
      <c r="B11" s="12" t="s">
        <v>18</v>
      </c>
      <c r="C11" s="12" t="s">
        <v>19</v>
      </c>
      <c r="D11" s="11" t="n">
        <v>5</v>
      </c>
      <c r="E11" s="11" t="n">
        <v>8</v>
      </c>
      <c r="F11" s="13" t="n">
        <f aca="false">$D$2+(D11-1)*7</f>
        <v>46307</v>
      </c>
      <c r="G11" s="13" t="n">
        <f aca="false">$D$2+E11*7-3</f>
        <v>46332</v>
      </c>
      <c r="H11" s="11" t="n">
        <f aca="false">E11-D11+1</f>
        <v>4</v>
      </c>
      <c r="I11" s="12" t="str">
        <f aca="false">IF(B11="Break","",IF(E11&lt;$D$3,"Done",IF(D11&lt;=$D$3,"In progress","Planned")))</f>
        <v>In progress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</row>
    <row r="12" customFormat="false" ht="15" hidden="false" customHeight="true" outlineLevel="0" collapsed="false">
      <c r="A12" s="11" t="n">
        <v>5</v>
      </c>
      <c r="B12" s="12" t="s">
        <v>20</v>
      </c>
      <c r="C12" s="12" t="s">
        <v>21</v>
      </c>
      <c r="D12" s="11" t="n">
        <v>6</v>
      </c>
      <c r="E12" s="11" t="n">
        <v>10</v>
      </c>
      <c r="F12" s="13" t="n">
        <f aca="false">$D$2+(D12-1)*7</f>
        <v>46314</v>
      </c>
      <c r="G12" s="13" t="n">
        <f aca="false">$D$2+E12*7-3</f>
        <v>46346</v>
      </c>
      <c r="H12" s="11" t="n">
        <f aca="false">E12-D12+1</f>
        <v>5</v>
      </c>
      <c r="I12" s="12" t="str">
        <f aca="false">IF(B12="Break","",IF(E12&lt;$D$3,"Done",IF(D12&lt;=$D$3,"In progress","Planned")))</f>
        <v>Planned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</row>
    <row r="13" customFormat="false" ht="15" hidden="false" customHeight="true" outlineLevel="0" collapsed="false">
      <c r="A13" s="11" t="n">
        <v>6</v>
      </c>
      <c r="B13" s="12" t="s">
        <v>13</v>
      </c>
      <c r="C13" s="12" t="s">
        <v>22</v>
      </c>
      <c r="D13" s="11" t="n">
        <v>8</v>
      </c>
      <c r="E13" s="11" t="n">
        <v>10</v>
      </c>
      <c r="F13" s="13" t="n">
        <f aca="false">$D$2+(D13-1)*7</f>
        <v>46328</v>
      </c>
      <c r="G13" s="13" t="n">
        <f aca="false">$D$2+E13*7-3</f>
        <v>46346</v>
      </c>
      <c r="H13" s="11" t="n">
        <f aca="false">E13-D13+1</f>
        <v>3</v>
      </c>
      <c r="I13" s="12" t="str">
        <f aca="false">IF(B13="Break","",IF(E13&lt;$D$3,"Done",IF(D13&lt;=$D$3,"In progress","Planned")))</f>
        <v>Planned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</row>
    <row r="14" customFormat="false" ht="15" hidden="false" customHeight="true" outlineLevel="0" collapsed="false">
      <c r="A14" s="11" t="n">
        <v>7</v>
      </c>
      <c r="B14" s="12" t="s">
        <v>20</v>
      </c>
      <c r="C14" s="12" t="s">
        <v>23</v>
      </c>
      <c r="D14" s="11" t="n">
        <v>10</v>
      </c>
      <c r="E14" s="11" t="n">
        <v>13</v>
      </c>
      <c r="F14" s="13" t="n">
        <f aca="false">$D$2+(D14-1)*7</f>
        <v>46342</v>
      </c>
      <c r="G14" s="13" t="n">
        <f aca="false">$D$2+E14*7-3</f>
        <v>46367</v>
      </c>
      <c r="H14" s="11" t="n">
        <f aca="false">E14-D14+1</f>
        <v>4</v>
      </c>
      <c r="I14" s="12" t="str">
        <f aca="false">IF(B14="Break","",IF(E14&lt;$D$3,"Done",IF(D14&lt;=$D$3,"In progress","Planned")))</f>
        <v>Planned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</row>
    <row r="15" customFormat="false" ht="15" hidden="false" customHeight="true" outlineLevel="0" collapsed="false">
      <c r="A15" s="11" t="n">
        <v>8</v>
      </c>
      <c r="B15" s="12" t="s">
        <v>20</v>
      </c>
      <c r="C15" s="12" t="s">
        <v>24</v>
      </c>
      <c r="D15" s="11" t="n">
        <v>11</v>
      </c>
      <c r="E15" s="11" t="n">
        <v>14</v>
      </c>
      <c r="F15" s="13" t="n">
        <f aca="false">$D$2+(D15-1)*7</f>
        <v>46349</v>
      </c>
      <c r="G15" s="13" t="n">
        <f aca="false">$D$2+E15*7-3</f>
        <v>46374</v>
      </c>
      <c r="H15" s="11" t="n">
        <f aca="false">E15-D15+1</f>
        <v>4</v>
      </c>
      <c r="I15" s="12" t="str">
        <f aca="false">IF(B15="Break","",IF(E15&lt;$D$3,"Done",IF(D15&lt;=$D$3,"In progress","Planned")))</f>
        <v>Planned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</row>
    <row r="16" customFormat="false" ht="15" hidden="false" customHeight="true" outlineLevel="0" collapsed="false">
      <c r="A16" s="11" t="n">
        <v>9</v>
      </c>
      <c r="B16" s="12" t="s">
        <v>25</v>
      </c>
      <c r="C16" s="12" t="s">
        <v>26</v>
      </c>
      <c r="D16" s="11" t="n">
        <v>13</v>
      </c>
      <c r="E16" s="11" t="n">
        <v>14</v>
      </c>
      <c r="F16" s="13" t="n">
        <f aca="false">$D$2+(D16-1)*7</f>
        <v>46363</v>
      </c>
      <c r="G16" s="13" t="n">
        <f aca="false">$D$2+E16*7-3</f>
        <v>46374</v>
      </c>
      <c r="H16" s="11" t="n">
        <f aca="false">E16-D16+1</f>
        <v>2</v>
      </c>
      <c r="I16" s="12" t="str">
        <f aca="false">IF(B16="Break","",IF(E16&lt;$D$3,"Done",IF(D16&lt;=$D$3,"In progress","Planned")))</f>
        <v>Planned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</row>
    <row r="17" customFormat="false" ht="15" hidden="false" customHeight="true" outlineLevel="0" collapsed="false">
      <c r="A17" s="11" t="n">
        <v>10</v>
      </c>
      <c r="B17" s="12" t="s">
        <v>27</v>
      </c>
      <c r="C17" s="12" t="s">
        <v>28</v>
      </c>
      <c r="D17" s="11" t="n">
        <v>15</v>
      </c>
      <c r="E17" s="11" t="n">
        <v>19</v>
      </c>
      <c r="F17" s="13" t="n">
        <f aca="false">$D$2+(D17-1)*7</f>
        <v>46377</v>
      </c>
      <c r="G17" s="13" t="n">
        <f aca="false">$D$2+E17*7-3</f>
        <v>46409</v>
      </c>
      <c r="H17" s="11" t="n">
        <f aca="false">E17-D17+1</f>
        <v>5</v>
      </c>
      <c r="I17" s="12" t="str">
        <f aca="false">IF(B17="Break","",IF(E17&lt;$D$3,"Done",IF(D17&lt;=$D$3,"In progress","Planned")))</f>
        <v/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</row>
    <row r="18" customFormat="false" ht="15" hidden="false" customHeight="true" outlineLevel="0" collapsed="false">
      <c r="A18" s="11" t="n">
        <v>11</v>
      </c>
      <c r="B18" s="12" t="s">
        <v>18</v>
      </c>
      <c r="C18" s="12" t="s">
        <v>29</v>
      </c>
      <c r="D18" s="11" t="n">
        <v>20</v>
      </c>
      <c r="E18" s="11" t="n">
        <v>21</v>
      </c>
      <c r="F18" s="13" t="n">
        <f aca="false">$D$2+(D18-1)*7</f>
        <v>46412</v>
      </c>
      <c r="G18" s="13" t="n">
        <f aca="false">$D$2+E18*7-3</f>
        <v>46423</v>
      </c>
      <c r="H18" s="11" t="n">
        <f aca="false">E18-D18+1</f>
        <v>2</v>
      </c>
      <c r="I18" s="12" t="str">
        <f aca="false">IF(B18="Break","",IF(E18&lt;$D$3,"Done",IF(D18&lt;=$D$3,"In progress","Planned")))</f>
        <v>Planned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</row>
    <row r="19" customFormat="false" ht="15" hidden="false" customHeight="true" outlineLevel="0" collapsed="false">
      <c r="A19" s="11" t="n">
        <v>12</v>
      </c>
      <c r="B19" s="12" t="s">
        <v>20</v>
      </c>
      <c r="C19" s="12" t="s">
        <v>30</v>
      </c>
      <c r="D19" s="11" t="n">
        <v>20</v>
      </c>
      <c r="E19" s="11" t="n">
        <v>22</v>
      </c>
      <c r="F19" s="13" t="n">
        <f aca="false">$D$2+(D19-1)*7</f>
        <v>46412</v>
      </c>
      <c r="G19" s="13" t="n">
        <f aca="false">$D$2+E19*7-3</f>
        <v>46430</v>
      </c>
      <c r="H19" s="11" t="n">
        <f aca="false">E19-D19+1</f>
        <v>3</v>
      </c>
      <c r="I19" s="12" t="str">
        <f aca="false">IF(B19="Break","",IF(E19&lt;$D$3,"Done",IF(D19&lt;=$D$3,"In progress","Planned")))</f>
        <v>Planned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</row>
    <row r="20" customFormat="false" ht="15" hidden="false" customHeight="true" outlineLevel="0" collapsed="false">
      <c r="A20" s="11" t="n">
        <v>13</v>
      </c>
      <c r="B20" s="12" t="s">
        <v>25</v>
      </c>
      <c r="C20" s="12" t="s">
        <v>31</v>
      </c>
      <c r="D20" s="11" t="n">
        <v>22</v>
      </c>
      <c r="E20" s="11" t="n">
        <v>26</v>
      </c>
      <c r="F20" s="13" t="n">
        <f aca="false">$D$2+(D20-1)*7</f>
        <v>46426</v>
      </c>
      <c r="G20" s="13" t="n">
        <f aca="false">$D$2+E20*7-3</f>
        <v>46458</v>
      </c>
      <c r="H20" s="11" t="n">
        <f aca="false">E20-D20+1</f>
        <v>5</v>
      </c>
      <c r="I20" s="12" t="str">
        <f aca="false">IF(B20="Break","",IF(E20&lt;$D$3,"Done",IF(D20&lt;=$D$3,"In progress","Planned")))</f>
        <v>Planned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</row>
    <row r="21" customFormat="false" ht="15" hidden="false" customHeight="true" outlineLevel="0" collapsed="false">
      <c r="A21" s="11" t="n">
        <v>14</v>
      </c>
      <c r="B21" s="12" t="s">
        <v>25</v>
      </c>
      <c r="C21" s="12" t="s">
        <v>32</v>
      </c>
      <c r="D21" s="11" t="n">
        <v>26</v>
      </c>
      <c r="E21" s="11" t="n">
        <v>28</v>
      </c>
      <c r="F21" s="13" t="n">
        <f aca="false">$D$2+(D21-1)*7</f>
        <v>46454</v>
      </c>
      <c r="G21" s="13" t="n">
        <f aca="false">$D$2+E21*7-3</f>
        <v>46472</v>
      </c>
      <c r="H21" s="11" t="n">
        <f aca="false">E21-D21+1</f>
        <v>3</v>
      </c>
      <c r="I21" s="12" t="str">
        <f aca="false">IF(B21="Break","",IF(E21&lt;$D$3,"Done",IF(D21&lt;=$D$3,"In progress","Planned")))</f>
        <v>Planned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</row>
    <row r="22" customFormat="false" ht="15" hidden="false" customHeight="true" outlineLevel="0" collapsed="false">
      <c r="A22" s="11" t="n">
        <v>15</v>
      </c>
      <c r="B22" s="12" t="s">
        <v>13</v>
      </c>
      <c r="C22" s="12" t="s">
        <v>33</v>
      </c>
      <c r="D22" s="11" t="n">
        <v>24</v>
      </c>
      <c r="E22" s="11" t="n">
        <v>31</v>
      </c>
      <c r="F22" s="13" t="n">
        <f aca="false">$D$2+(D22-1)*7</f>
        <v>46440</v>
      </c>
      <c r="G22" s="13" t="n">
        <f aca="false">$D$2+E22*7-3</f>
        <v>46493</v>
      </c>
      <c r="H22" s="11" t="n">
        <f aca="false">E22-D22+1</f>
        <v>8</v>
      </c>
      <c r="I22" s="12" t="str">
        <f aca="false">IF(B22="Break","",IF(E22&lt;$D$3,"Done",IF(D22&lt;=$D$3,"In progress","Planned")))</f>
        <v>Planned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</row>
    <row r="23" customFormat="false" ht="15" hidden="false" customHeight="true" outlineLevel="0" collapsed="false">
      <c r="A23" s="11" t="n">
        <v>16</v>
      </c>
      <c r="B23" s="12" t="s">
        <v>25</v>
      </c>
      <c r="C23" s="12" t="s">
        <v>34</v>
      </c>
      <c r="D23" s="11" t="n">
        <v>31</v>
      </c>
      <c r="E23" s="11" t="n">
        <v>32</v>
      </c>
      <c r="F23" s="13" t="n">
        <f aca="false">$D$2+(D23-1)*7</f>
        <v>46489</v>
      </c>
      <c r="G23" s="13" t="n">
        <f aca="false">$D$2+E23*7-3</f>
        <v>46500</v>
      </c>
      <c r="H23" s="11" t="n">
        <f aca="false">E23-D23+1</f>
        <v>2</v>
      </c>
      <c r="I23" s="12" t="str">
        <f aca="false">IF(B23="Break","",IF(E23&lt;$D$3,"Done",IF(D23&lt;=$D$3,"In progress","Planned")))</f>
        <v>Planned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</row>
    <row r="24" customFormat="false" ht="15" hidden="false" customHeight="true" outlineLevel="0" collapsed="false">
      <c r="A24" s="11" t="n">
        <v>17</v>
      </c>
      <c r="B24" s="12" t="s">
        <v>25</v>
      </c>
      <c r="C24" s="12" t="s">
        <v>35</v>
      </c>
      <c r="D24" s="11" t="n">
        <v>6</v>
      </c>
      <c r="E24" s="11" t="n">
        <v>30</v>
      </c>
      <c r="F24" s="13" t="n">
        <f aca="false">$D$2+(D24-1)*7</f>
        <v>46314</v>
      </c>
      <c r="G24" s="13" t="n">
        <f aca="false">$D$2+E24*7-3</f>
        <v>46486</v>
      </c>
      <c r="H24" s="11" t="n">
        <f aca="false">E24-D24+1</f>
        <v>25</v>
      </c>
      <c r="I24" s="12" t="str">
        <f aca="false">IF(B24="Break","",IF(E24&lt;$D$3,"Done",IF(D24&lt;=$D$3,"In progress","Planned")))</f>
        <v>Planned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</row>
    <row r="26" customFormat="false" ht="15" hidden="false" customHeight="true" outlineLevel="0" collapsed="false">
      <c r="C26" s="3" t="s">
        <v>36</v>
      </c>
    </row>
    <row r="27" customFormat="false" ht="15" hidden="false" customHeight="true" outlineLevel="0" collapsed="false">
      <c r="C27" s="14" t="s">
        <v>37</v>
      </c>
      <c r="D27" s="6" t="n">
        <v>10</v>
      </c>
      <c r="E27" s="6" t="n">
        <v>10</v>
      </c>
      <c r="F27" s="15" t="n">
        <f aca="false">$D$2+E27*7-3</f>
        <v>46346</v>
      </c>
      <c r="J27" s="16" t="str">
        <f aca="false">IF(J$7=$E27,"◆","")</f>
        <v/>
      </c>
      <c r="K27" s="16" t="str">
        <f aca="false">IF(K$7=$E27,"◆","")</f>
        <v/>
      </c>
      <c r="L27" s="16" t="str">
        <f aca="false">IF(L$7=$E27,"◆","")</f>
        <v/>
      </c>
      <c r="M27" s="16" t="str">
        <f aca="false">IF(M$7=$E27,"◆","")</f>
        <v/>
      </c>
      <c r="N27" s="16" t="str">
        <f aca="false">IF(N$7=$E27,"◆","")</f>
        <v/>
      </c>
      <c r="O27" s="16" t="str">
        <f aca="false">IF(O$7=$E27,"◆","")</f>
        <v/>
      </c>
      <c r="P27" s="16" t="str">
        <f aca="false">IF(P$7=$E27,"◆","")</f>
        <v/>
      </c>
      <c r="Q27" s="16" t="str">
        <f aca="false">IF(Q$7=$E27,"◆","")</f>
        <v/>
      </c>
      <c r="R27" s="16" t="str">
        <f aca="false">IF(R$7=$E27,"◆","")</f>
        <v/>
      </c>
      <c r="S27" s="16" t="str">
        <f aca="false">IF(S$7=$E27,"◆","")</f>
        <v>◆</v>
      </c>
      <c r="T27" s="16" t="str">
        <f aca="false">IF(T$7=$E27,"◆","")</f>
        <v/>
      </c>
      <c r="U27" s="16" t="str">
        <f aca="false">IF(U$7=$E27,"◆","")</f>
        <v/>
      </c>
      <c r="V27" s="16" t="str">
        <f aca="false">IF(V$7=$E27,"◆","")</f>
        <v/>
      </c>
      <c r="W27" s="16" t="str">
        <f aca="false">IF(W$7=$E27,"◆","")</f>
        <v/>
      </c>
      <c r="X27" s="16" t="str">
        <f aca="false">IF(X$7=$E27,"◆","")</f>
        <v/>
      </c>
      <c r="Y27" s="16" t="str">
        <f aca="false">IF(Y$7=$E27,"◆","")</f>
        <v/>
      </c>
      <c r="Z27" s="16" t="str">
        <f aca="false">IF(Z$7=$E27,"◆","")</f>
        <v/>
      </c>
      <c r="AA27" s="16" t="str">
        <f aca="false">IF(AA$7=$E27,"◆","")</f>
        <v/>
      </c>
      <c r="AB27" s="16" t="str">
        <f aca="false">IF(AB$7=$E27,"◆","")</f>
        <v/>
      </c>
      <c r="AC27" s="16" t="str">
        <f aca="false">IF(AC$7=$E27,"◆","")</f>
        <v/>
      </c>
      <c r="AD27" s="16" t="str">
        <f aca="false">IF(AD$7=$E27,"◆","")</f>
        <v/>
      </c>
      <c r="AE27" s="16" t="str">
        <f aca="false">IF(AE$7=$E27,"◆","")</f>
        <v/>
      </c>
      <c r="AF27" s="16" t="str">
        <f aca="false">IF(AF$7=$E27,"◆","")</f>
        <v/>
      </c>
      <c r="AG27" s="16" t="str">
        <f aca="false">IF(AG$7=$E27,"◆","")</f>
        <v/>
      </c>
      <c r="AH27" s="16" t="str">
        <f aca="false">IF(AH$7=$E27,"◆","")</f>
        <v/>
      </c>
      <c r="AI27" s="16" t="str">
        <f aca="false">IF(AI$7=$E27,"◆","")</f>
        <v/>
      </c>
      <c r="AJ27" s="16" t="str">
        <f aca="false">IF(AJ$7=$E27,"◆","")</f>
        <v/>
      </c>
      <c r="AK27" s="16" t="str">
        <f aca="false">IF(AK$7=$E27,"◆","")</f>
        <v/>
      </c>
      <c r="AL27" s="16" t="str">
        <f aca="false">IF(AL$7=$E27,"◆","")</f>
        <v/>
      </c>
      <c r="AM27" s="16" t="str">
        <f aca="false">IF(AM$7=$E27,"◆","")</f>
        <v/>
      </c>
      <c r="AN27" s="16" t="str">
        <f aca="false">IF(AN$7=$E27,"◆","")</f>
        <v/>
      </c>
      <c r="AO27" s="16" t="str">
        <f aca="false">IF(AO$7=$E27,"◆","")</f>
        <v/>
      </c>
    </row>
    <row r="28" customFormat="false" ht="15" hidden="false" customHeight="true" outlineLevel="0" collapsed="false">
      <c r="C28" s="14" t="s">
        <v>38</v>
      </c>
      <c r="D28" s="6" t="n">
        <v>14</v>
      </c>
      <c r="E28" s="6" t="n">
        <v>14</v>
      </c>
      <c r="F28" s="15" t="n">
        <f aca="false">$D$2+E28*7-3</f>
        <v>46374</v>
      </c>
      <c r="J28" s="16" t="str">
        <f aca="false">IF(J$7=$E28,"◆","")</f>
        <v/>
      </c>
      <c r="K28" s="16" t="str">
        <f aca="false">IF(K$7=$E28,"◆","")</f>
        <v/>
      </c>
      <c r="L28" s="16" t="str">
        <f aca="false">IF(L$7=$E28,"◆","")</f>
        <v/>
      </c>
      <c r="M28" s="16" t="str">
        <f aca="false">IF(M$7=$E28,"◆","")</f>
        <v/>
      </c>
      <c r="N28" s="16" t="str">
        <f aca="false">IF(N$7=$E28,"◆","")</f>
        <v/>
      </c>
      <c r="O28" s="16" t="str">
        <f aca="false">IF(O$7=$E28,"◆","")</f>
        <v/>
      </c>
      <c r="P28" s="16" t="str">
        <f aca="false">IF(P$7=$E28,"◆","")</f>
        <v/>
      </c>
      <c r="Q28" s="16" t="str">
        <f aca="false">IF(Q$7=$E28,"◆","")</f>
        <v/>
      </c>
      <c r="R28" s="16" t="str">
        <f aca="false">IF(R$7=$E28,"◆","")</f>
        <v/>
      </c>
      <c r="S28" s="16" t="str">
        <f aca="false">IF(S$7=$E28,"◆","")</f>
        <v/>
      </c>
      <c r="T28" s="16" t="str">
        <f aca="false">IF(T$7=$E28,"◆","")</f>
        <v/>
      </c>
      <c r="U28" s="16" t="str">
        <f aca="false">IF(U$7=$E28,"◆","")</f>
        <v/>
      </c>
      <c r="V28" s="16" t="str">
        <f aca="false">IF(V$7=$E28,"◆","")</f>
        <v/>
      </c>
      <c r="W28" s="16" t="str">
        <f aca="false">IF(W$7=$E28,"◆","")</f>
        <v>◆</v>
      </c>
      <c r="X28" s="16" t="str">
        <f aca="false">IF(X$7=$E28,"◆","")</f>
        <v/>
      </c>
      <c r="Y28" s="16" t="str">
        <f aca="false">IF(Y$7=$E28,"◆","")</f>
        <v/>
      </c>
      <c r="Z28" s="16" t="str">
        <f aca="false">IF(Z$7=$E28,"◆","")</f>
        <v/>
      </c>
      <c r="AA28" s="16" t="str">
        <f aca="false">IF(AA$7=$E28,"◆","")</f>
        <v/>
      </c>
      <c r="AB28" s="16" t="str">
        <f aca="false">IF(AB$7=$E28,"◆","")</f>
        <v/>
      </c>
      <c r="AC28" s="16" t="str">
        <f aca="false">IF(AC$7=$E28,"◆","")</f>
        <v/>
      </c>
      <c r="AD28" s="16" t="str">
        <f aca="false">IF(AD$7=$E28,"◆","")</f>
        <v/>
      </c>
      <c r="AE28" s="16" t="str">
        <f aca="false">IF(AE$7=$E28,"◆","")</f>
        <v/>
      </c>
      <c r="AF28" s="16" t="str">
        <f aca="false">IF(AF$7=$E28,"◆","")</f>
        <v/>
      </c>
      <c r="AG28" s="16" t="str">
        <f aca="false">IF(AG$7=$E28,"◆","")</f>
        <v/>
      </c>
      <c r="AH28" s="16" t="str">
        <f aca="false">IF(AH$7=$E28,"◆","")</f>
        <v/>
      </c>
      <c r="AI28" s="16" t="str">
        <f aca="false">IF(AI$7=$E28,"◆","")</f>
        <v/>
      </c>
      <c r="AJ28" s="16" t="str">
        <f aca="false">IF(AJ$7=$E28,"◆","")</f>
        <v/>
      </c>
      <c r="AK28" s="16" t="str">
        <f aca="false">IF(AK$7=$E28,"◆","")</f>
        <v/>
      </c>
      <c r="AL28" s="16" t="str">
        <f aca="false">IF(AL$7=$E28,"◆","")</f>
        <v/>
      </c>
      <c r="AM28" s="16" t="str">
        <f aca="false">IF(AM$7=$E28,"◆","")</f>
        <v/>
      </c>
      <c r="AN28" s="16" t="str">
        <f aca="false">IF(AN$7=$E28,"◆","")</f>
        <v/>
      </c>
      <c r="AO28" s="16" t="str">
        <f aca="false">IF(AO$7=$E28,"◆","")</f>
        <v/>
      </c>
    </row>
    <row r="29" customFormat="false" ht="15" hidden="false" customHeight="true" outlineLevel="0" collapsed="false">
      <c r="C29" s="14" t="s">
        <v>39</v>
      </c>
      <c r="D29" s="6" t="n">
        <v>20</v>
      </c>
      <c r="E29" s="6" t="n">
        <v>20</v>
      </c>
      <c r="F29" s="15" t="n">
        <f aca="false">$D$2+E29*7-3</f>
        <v>46416</v>
      </c>
      <c r="J29" s="16" t="str">
        <f aca="false">IF(J$7=$E29,"◆","")</f>
        <v/>
      </c>
      <c r="K29" s="16" t="str">
        <f aca="false">IF(K$7=$E29,"◆","")</f>
        <v/>
      </c>
      <c r="L29" s="16" t="str">
        <f aca="false">IF(L$7=$E29,"◆","")</f>
        <v/>
      </c>
      <c r="M29" s="16" t="str">
        <f aca="false">IF(M$7=$E29,"◆","")</f>
        <v/>
      </c>
      <c r="N29" s="16" t="str">
        <f aca="false">IF(N$7=$E29,"◆","")</f>
        <v/>
      </c>
      <c r="O29" s="16" t="str">
        <f aca="false">IF(O$7=$E29,"◆","")</f>
        <v/>
      </c>
      <c r="P29" s="16" t="str">
        <f aca="false">IF(P$7=$E29,"◆","")</f>
        <v/>
      </c>
      <c r="Q29" s="16" t="str">
        <f aca="false">IF(Q$7=$E29,"◆","")</f>
        <v/>
      </c>
      <c r="R29" s="16" t="str">
        <f aca="false">IF(R$7=$E29,"◆","")</f>
        <v/>
      </c>
      <c r="S29" s="16" t="str">
        <f aca="false">IF(S$7=$E29,"◆","")</f>
        <v/>
      </c>
      <c r="T29" s="16" t="str">
        <f aca="false">IF(T$7=$E29,"◆","")</f>
        <v/>
      </c>
      <c r="U29" s="16" t="str">
        <f aca="false">IF(U$7=$E29,"◆","")</f>
        <v/>
      </c>
      <c r="V29" s="16" t="str">
        <f aca="false">IF(V$7=$E29,"◆","")</f>
        <v/>
      </c>
      <c r="W29" s="16" t="str">
        <f aca="false">IF(W$7=$E29,"◆","")</f>
        <v/>
      </c>
      <c r="X29" s="16" t="str">
        <f aca="false">IF(X$7=$E29,"◆","")</f>
        <v/>
      </c>
      <c r="Y29" s="16" t="str">
        <f aca="false">IF(Y$7=$E29,"◆","")</f>
        <v/>
      </c>
      <c r="Z29" s="16" t="str">
        <f aca="false">IF(Z$7=$E29,"◆","")</f>
        <v/>
      </c>
      <c r="AA29" s="16" t="str">
        <f aca="false">IF(AA$7=$E29,"◆","")</f>
        <v/>
      </c>
      <c r="AB29" s="16" t="str">
        <f aca="false">IF(AB$7=$E29,"◆","")</f>
        <v/>
      </c>
      <c r="AC29" s="16" t="str">
        <f aca="false">IF(AC$7=$E29,"◆","")</f>
        <v>◆</v>
      </c>
      <c r="AD29" s="16" t="str">
        <f aca="false">IF(AD$7=$E29,"◆","")</f>
        <v/>
      </c>
      <c r="AE29" s="16" t="str">
        <f aca="false">IF(AE$7=$E29,"◆","")</f>
        <v/>
      </c>
      <c r="AF29" s="16" t="str">
        <f aca="false">IF(AF$7=$E29,"◆","")</f>
        <v/>
      </c>
      <c r="AG29" s="16" t="str">
        <f aca="false">IF(AG$7=$E29,"◆","")</f>
        <v/>
      </c>
      <c r="AH29" s="16" t="str">
        <f aca="false">IF(AH$7=$E29,"◆","")</f>
        <v/>
      </c>
      <c r="AI29" s="16" t="str">
        <f aca="false">IF(AI$7=$E29,"◆","")</f>
        <v/>
      </c>
      <c r="AJ29" s="16" t="str">
        <f aca="false">IF(AJ$7=$E29,"◆","")</f>
        <v/>
      </c>
      <c r="AK29" s="16" t="str">
        <f aca="false">IF(AK$7=$E29,"◆","")</f>
        <v/>
      </c>
      <c r="AL29" s="16" t="str">
        <f aca="false">IF(AL$7=$E29,"◆","")</f>
        <v/>
      </c>
      <c r="AM29" s="16" t="str">
        <f aca="false">IF(AM$7=$E29,"◆","")</f>
        <v/>
      </c>
      <c r="AN29" s="16" t="str">
        <f aca="false">IF(AN$7=$E29,"◆","")</f>
        <v/>
      </c>
      <c r="AO29" s="16" t="str">
        <f aca="false">IF(AO$7=$E29,"◆","")</f>
        <v/>
      </c>
    </row>
    <row r="30" customFormat="false" ht="15" hidden="false" customHeight="true" outlineLevel="0" collapsed="false">
      <c r="C30" s="14" t="s">
        <v>40</v>
      </c>
      <c r="D30" s="6" t="n">
        <v>32</v>
      </c>
      <c r="E30" s="6" t="n">
        <v>32</v>
      </c>
      <c r="F30" s="15" t="n">
        <f aca="false">$D$2+E30*7-3</f>
        <v>46500</v>
      </c>
      <c r="J30" s="16" t="str">
        <f aca="false">IF(J$7=$E30,"◆","")</f>
        <v/>
      </c>
      <c r="K30" s="16" t="str">
        <f aca="false">IF(K$7=$E30,"◆","")</f>
        <v/>
      </c>
      <c r="L30" s="16" t="str">
        <f aca="false">IF(L$7=$E30,"◆","")</f>
        <v/>
      </c>
      <c r="M30" s="16" t="str">
        <f aca="false">IF(M$7=$E30,"◆","")</f>
        <v/>
      </c>
      <c r="N30" s="16" t="str">
        <f aca="false">IF(N$7=$E30,"◆","")</f>
        <v/>
      </c>
      <c r="O30" s="16" t="str">
        <f aca="false">IF(O$7=$E30,"◆","")</f>
        <v/>
      </c>
      <c r="P30" s="16" t="str">
        <f aca="false">IF(P$7=$E30,"◆","")</f>
        <v/>
      </c>
      <c r="Q30" s="16" t="str">
        <f aca="false">IF(Q$7=$E30,"◆","")</f>
        <v/>
      </c>
      <c r="R30" s="16" t="str">
        <f aca="false">IF(R$7=$E30,"◆","")</f>
        <v/>
      </c>
      <c r="S30" s="16" t="str">
        <f aca="false">IF(S$7=$E30,"◆","")</f>
        <v/>
      </c>
      <c r="T30" s="16" t="str">
        <f aca="false">IF(T$7=$E30,"◆","")</f>
        <v/>
      </c>
      <c r="U30" s="16" t="str">
        <f aca="false">IF(U$7=$E30,"◆","")</f>
        <v/>
      </c>
      <c r="V30" s="16" t="str">
        <f aca="false">IF(V$7=$E30,"◆","")</f>
        <v/>
      </c>
      <c r="W30" s="16" t="str">
        <f aca="false">IF(W$7=$E30,"◆","")</f>
        <v/>
      </c>
      <c r="X30" s="16" t="str">
        <f aca="false">IF(X$7=$E30,"◆","")</f>
        <v/>
      </c>
      <c r="Y30" s="16" t="str">
        <f aca="false">IF(Y$7=$E30,"◆","")</f>
        <v/>
      </c>
      <c r="Z30" s="16" t="str">
        <f aca="false">IF(Z$7=$E30,"◆","")</f>
        <v/>
      </c>
      <c r="AA30" s="16" t="str">
        <f aca="false">IF(AA$7=$E30,"◆","")</f>
        <v/>
      </c>
      <c r="AB30" s="16" t="str">
        <f aca="false">IF(AB$7=$E30,"◆","")</f>
        <v/>
      </c>
      <c r="AC30" s="16" t="str">
        <f aca="false">IF(AC$7=$E30,"◆","")</f>
        <v/>
      </c>
      <c r="AD30" s="16" t="str">
        <f aca="false">IF(AD$7=$E30,"◆","")</f>
        <v/>
      </c>
      <c r="AE30" s="16" t="str">
        <f aca="false">IF(AE$7=$E30,"◆","")</f>
        <v/>
      </c>
      <c r="AF30" s="16" t="str">
        <f aca="false">IF(AF$7=$E30,"◆","")</f>
        <v/>
      </c>
      <c r="AG30" s="16" t="str">
        <f aca="false">IF(AG$7=$E30,"◆","")</f>
        <v/>
      </c>
      <c r="AH30" s="16" t="str">
        <f aca="false">IF(AH$7=$E30,"◆","")</f>
        <v/>
      </c>
      <c r="AI30" s="16" t="str">
        <f aca="false">IF(AI$7=$E30,"◆","")</f>
        <v/>
      </c>
      <c r="AJ30" s="16" t="str">
        <f aca="false">IF(AJ$7=$E30,"◆","")</f>
        <v/>
      </c>
      <c r="AK30" s="16" t="str">
        <f aca="false">IF(AK$7=$E30,"◆","")</f>
        <v/>
      </c>
      <c r="AL30" s="16" t="str">
        <f aca="false">IF(AL$7=$E30,"◆","")</f>
        <v/>
      </c>
      <c r="AM30" s="16" t="str">
        <f aca="false">IF(AM$7=$E30,"◆","")</f>
        <v/>
      </c>
      <c r="AN30" s="16" t="str">
        <f aca="false">IF(AN$7=$E30,"◆","")</f>
        <v/>
      </c>
      <c r="AO30" s="16" t="str">
        <f aca="false">IF(AO$7=$E30,"◆","")</f>
        <v>◆</v>
      </c>
    </row>
    <row r="32" customFormat="false" ht="15" hidden="false" customHeight="true" outlineLevel="0" collapsed="false">
      <c r="C32" s="3" t="s">
        <v>41</v>
      </c>
    </row>
    <row r="33" customFormat="false" ht="15" hidden="false" customHeight="true" outlineLevel="0" collapsed="false">
      <c r="C33" s="14" t="s">
        <v>13</v>
      </c>
      <c r="D33" s="17"/>
    </row>
    <row r="34" customFormat="false" ht="15" hidden="false" customHeight="true" outlineLevel="0" collapsed="false">
      <c r="C34" s="14" t="s">
        <v>16</v>
      </c>
      <c r="D34" s="18"/>
    </row>
    <row r="35" customFormat="false" ht="15" hidden="false" customHeight="true" outlineLevel="0" collapsed="false">
      <c r="C35" s="14" t="s">
        <v>18</v>
      </c>
      <c r="D35" s="19"/>
    </row>
    <row r="36" customFormat="false" ht="15" hidden="false" customHeight="true" outlineLevel="0" collapsed="false">
      <c r="C36" s="14" t="s">
        <v>20</v>
      </c>
      <c r="D36" s="20"/>
    </row>
    <row r="37" customFormat="false" ht="15" hidden="false" customHeight="true" outlineLevel="0" collapsed="false">
      <c r="C37" s="14" t="s">
        <v>25</v>
      </c>
      <c r="D37" s="21"/>
    </row>
    <row r="38" customFormat="false" ht="15" hidden="false" customHeight="true" outlineLevel="0" collapsed="false">
      <c r="C38" s="14" t="s">
        <v>27</v>
      </c>
      <c r="D38" s="22"/>
    </row>
    <row r="39" customFormat="false" ht="15" hidden="false" customHeight="true" outlineLevel="0" collapsed="false">
      <c r="C39" s="14" t="s">
        <v>2</v>
      </c>
      <c r="D39" s="23"/>
    </row>
    <row r="40" customFormat="false" ht="15" hidden="false" customHeight="true" outlineLevel="0" collapsed="false">
      <c r="C40" s="24" t="s">
        <v>42</v>
      </c>
    </row>
    <row r="42" customFormat="false" ht="15" hidden="false" customHeight="true" outlineLevel="0" collapsed="false">
      <c r="C42" s="25" t="s">
        <v>43</v>
      </c>
    </row>
  </sheetData>
  <conditionalFormatting sqref="J8:AO8">
    <cfRule type="expression" priority="2" aboveAverage="0" equalAverage="0" bottom="0" percent="0" rank="0" text="" dxfId="0">
      <formula>AND(J$7&gt;=$D8,J$7&lt;=$E8)</formula>
    </cfRule>
  </conditionalFormatting>
  <conditionalFormatting sqref="J9:AO9">
    <cfRule type="expression" priority="3" aboveAverage="0" equalAverage="0" bottom="0" percent="0" rank="0" text="" dxfId="0">
      <formula>AND(J$7&gt;=$D9,J$7&lt;=$E9)</formula>
    </cfRule>
  </conditionalFormatting>
  <conditionalFormatting sqref="J10:AO10">
    <cfRule type="expression" priority="4" aboveAverage="0" equalAverage="0" bottom="0" percent="0" rank="0" text="" dxfId="1">
      <formula>AND(J$7&gt;=$D10,J$7&lt;=$E10)</formula>
    </cfRule>
  </conditionalFormatting>
  <conditionalFormatting sqref="J11:AO11">
    <cfRule type="expression" priority="5" aboveAverage="0" equalAverage="0" bottom="0" percent="0" rank="0" text="" dxfId="2">
      <formula>AND(J$7&gt;=$D11,J$7&lt;=$E11)</formula>
    </cfRule>
  </conditionalFormatting>
  <conditionalFormatting sqref="J12:AO12">
    <cfRule type="expression" priority="6" aboveAverage="0" equalAverage="0" bottom="0" percent="0" rank="0" text="" dxfId="3">
      <formula>AND(J$7&gt;=$D12,J$7&lt;=$E12)</formula>
    </cfRule>
  </conditionalFormatting>
  <conditionalFormatting sqref="J13:AO13">
    <cfRule type="expression" priority="7" aboveAverage="0" equalAverage="0" bottom="0" percent="0" rank="0" text="" dxfId="0">
      <formula>AND(J$7&gt;=$D13,J$7&lt;=$E13)</formula>
    </cfRule>
  </conditionalFormatting>
  <conditionalFormatting sqref="J14:AO14">
    <cfRule type="expression" priority="8" aboveAverage="0" equalAverage="0" bottom="0" percent="0" rank="0" text="" dxfId="3">
      <formula>AND(J$7&gt;=$D14,J$7&lt;=$E14)</formula>
    </cfRule>
  </conditionalFormatting>
  <conditionalFormatting sqref="J15:AO15">
    <cfRule type="expression" priority="9" aboveAverage="0" equalAverage="0" bottom="0" percent="0" rank="0" text="" dxfId="3">
      <formula>AND(J$7&gt;=$D15,J$7&lt;=$E15)</formula>
    </cfRule>
  </conditionalFormatting>
  <conditionalFormatting sqref="J16:AO16">
    <cfRule type="expression" priority="10" aboveAverage="0" equalAverage="0" bottom="0" percent="0" rank="0" text="" dxfId="4">
      <formula>AND(J$7&gt;=$D16,J$7&lt;=$E16)</formula>
    </cfRule>
  </conditionalFormatting>
  <conditionalFormatting sqref="J17:AO17">
    <cfRule type="expression" priority="11" aboveAverage="0" equalAverage="0" bottom="0" percent="0" rank="0" text="" dxfId="5">
      <formula>AND(J$7&gt;=$D17,J$7&lt;=$E17)</formula>
    </cfRule>
  </conditionalFormatting>
  <conditionalFormatting sqref="J18:AO18">
    <cfRule type="expression" priority="12" aboveAverage="0" equalAverage="0" bottom="0" percent="0" rank="0" text="" dxfId="2">
      <formula>AND(J$7&gt;=$D18,J$7&lt;=$E18)</formula>
    </cfRule>
  </conditionalFormatting>
  <conditionalFormatting sqref="J19:AO19">
    <cfRule type="expression" priority="13" aboveAverage="0" equalAverage="0" bottom="0" percent="0" rank="0" text="" dxfId="3">
      <formula>AND(J$7&gt;=$D19,J$7&lt;=$E19)</formula>
    </cfRule>
  </conditionalFormatting>
  <conditionalFormatting sqref="J20:AO20">
    <cfRule type="expression" priority="14" aboveAverage="0" equalAverage="0" bottom="0" percent="0" rank="0" text="" dxfId="4">
      <formula>AND(J$7&gt;=$D20,J$7&lt;=$E20)</formula>
    </cfRule>
  </conditionalFormatting>
  <conditionalFormatting sqref="J21:AO21">
    <cfRule type="expression" priority="15" aboveAverage="0" equalAverage="0" bottom="0" percent="0" rank="0" text="" dxfId="4">
      <formula>AND(J$7&gt;=$D21,J$7&lt;=$E21)</formula>
    </cfRule>
  </conditionalFormatting>
  <conditionalFormatting sqref="J22:AO22">
    <cfRule type="expression" priority="16" aboveAverage="0" equalAverage="0" bottom="0" percent="0" rank="0" text="" dxfId="0">
      <formula>AND(J$7&gt;=$D22,J$7&lt;=$E22)</formula>
    </cfRule>
  </conditionalFormatting>
  <conditionalFormatting sqref="J23:AO23">
    <cfRule type="expression" priority="17" aboveAverage="0" equalAverage="0" bottom="0" percent="0" rank="0" text="" dxfId="4">
      <formula>AND(J$7&gt;=$D23,J$7&lt;=$E23)</formula>
    </cfRule>
  </conditionalFormatting>
  <conditionalFormatting sqref="J24:AO24">
    <cfRule type="expression" priority="18" aboveAverage="0" equalAverage="0" bottom="0" percent="0" rank="0" text="" dxfId="4">
      <formula>AND(J$7&gt;=$D24,J$7&lt;=$E24)</formula>
    </cfRule>
  </conditionalFormatting>
  <conditionalFormatting sqref="J8:AO24">
    <cfRule type="expression" priority="19" aboveAverage="0" equalAverage="0" bottom="0" percent="0" rank="0" text="" dxfId="6">
      <formula>J$7=$D$3</formula>
    </cfRule>
    <cfRule type="expression" priority="20" aboveAverage="0" equalAverage="0" bottom="0" percent="0" rank="0" text="" dxfId="7">
      <formula>AND(J$7&gt;=15,J$7&lt;=19)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2026-10-16T10:26:06Z</dcterms:created>
  <dc:creator>openpyxl</dc:creator>
  <dc:description/>
  <dc:language>en-US</dc:language>
  <cp:lastModifiedBy/>
  <dcterms:modified xsi:type="dcterms:W3CDTF">2026-10-16T10:27:01Z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